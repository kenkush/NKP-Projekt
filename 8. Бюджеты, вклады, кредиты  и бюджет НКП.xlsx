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A. 001 Письма и докум. в пос-ва\"/>
    </mc:Choice>
  </mc:AlternateContent>
  <xr:revisionPtr revIDLastSave="0" documentId="13_ncr:1_{5ABA1792-4085-4690-B573-0A8E3083833F}" xr6:coauthVersionLast="47" xr6:coauthVersionMax="47" xr10:uidLastSave="{00000000-0000-0000-0000-000000000000}"/>
  <bookViews>
    <workbookView xWindow="3885" yWindow="210" windowWidth="14160" windowHeight="10380" xr2:uid="{00000000-000D-0000-FFFF-FFFF00000000}"/>
  </bookViews>
  <sheets>
    <sheet name="Бюджеты, вклады, кредиты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B15" i="1"/>
  <c r="G14" i="1"/>
  <c r="E14" i="1"/>
  <c r="G13" i="1"/>
  <c r="E13" i="1"/>
  <c r="G12" i="1"/>
  <c r="E12" i="1"/>
  <c r="E11" i="1"/>
  <c r="F11" i="1" s="1"/>
  <c r="G11" i="1" s="1"/>
  <c r="G10" i="1"/>
  <c r="E10" i="1"/>
  <c r="E9" i="1"/>
  <c r="F9" i="1" s="1"/>
  <c r="G9" i="1" s="1"/>
  <c r="E8" i="1"/>
  <c r="F8" i="1" s="1"/>
  <c r="G8" i="1" s="1"/>
  <c r="E7" i="1"/>
  <c r="F7" i="1" s="1"/>
  <c r="G7" i="1" s="1"/>
  <c r="E6" i="1"/>
  <c r="E15" i="1" l="1"/>
  <c r="F6" i="1"/>
  <c r="F15" i="1" l="1"/>
  <c r="G15" i="1" s="1"/>
  <c r="G6" i="1"/>
</calcChain>
</file>

<file path=xl/sharedStrings.xml><?xml version="1.0" encoding="utf-8"?>
<sst xmlns="http://schemas.openxmlformats.org/spreadsheetml/2006/main" count="43" uniqueCount="37">
  <si>
    <t>Бюджеты, вклады, кредиты и бюджет НКП</t>
  </si>
  <si>
    <t>Страны</t>
  </si>
  <si>
    <t>Бюджет</t>
  </si>
  <si>
    <t>Вклады населения</t>
  </si>
  <si>
    <t>Кредиты</t>
  </si>
  <si>
    <t>Итого источники</t>
  </si>
  <si>
    <t>бюджет</t>
  </si>
  <si>
    <t>и бизнеса</t>
  </si>
  <si>
    <t>финансирования</t>
  </si>
  <si>
    <t>от итога</t>
  </si>
  <si>
    <t>НКП</t>
  </si>
  <si>
    <t>2023г.</t>
  </si>
  <si>
    <t>бюджет НКП</t>
  </si>
  <si>
    <t xml:space="preserve">в % </t>
  </si>
  <si>
    <t xml:space="preserve"> ($ млрд)</t>
  </si>
  <si>
    <t>($ млрд)</t>
  </si>
  <si>
    <t>к бюджету</t>
  </si>
  <si>
    <t>Кыргызстан</t>
  </si>
  <si>
    <t>Россия</t>
  </si>
  <si>
    <t>США</t>
  </si>
  <si>
    <t>Китай</t>
  </si>
  <si>
    <t>Украина</t>
  </si>
  <si>
    <t>Все страны Евросоюза</t>
  </si>
  <si>
    <t>Иран</t>
  </si>
  <si>
    <t>Лига арабских государств</t>
  </si>
  <si>
    <t>Израиль</t>
  </si>
  <si>
    <t>Всего</t>
  </si>
  <si>
    <t>Комментарий к таблице.</t>
  </si>
  <si>
    <t xml:space="preserve">Дело не в абсолютной массе богатства, а в качестве системы управления государством. Если управление рухнет, то рухнут и </t>
  </si>
  <si>
    <t xml:space="preserve">бюджет, и вклады, и кредиты. </t>
  </si>
  <si>
    <t xml:space="preserve">Пояснения: единица измерения, - миллиард долларов. </t>
  </si>
  <si>
    <t xml:space="preserve">Данные таблицы примерны и даны </t>
  </si>
  <si>
    <t>для сравнения.  Например: Бюджет России 415 млрд.долл. ... США 6 триллионов 900 миллиардов</t>
  </si>
  <si>
    <t>долларов.</t>
  </si>
  <si>
    <t>По Кыргызстану:   Источники финансирования 9,2 миллиарда долларов, а 10% от них 0,92 млрд.долл.</t>
  </si>
  <si>
    <t>примерно 80 млрд. сом</t>
  </si>
  <si>
    <t>По Укараине:  Бюджет 43 миллиарда 500 лн.долл. Бюджет  НКП  10 млрд. 100 млн. долл.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</si>
</sst>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9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9" fontId="2" fillId="3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4" xfId="0" applyFont="1" applyBorder="1"/>
    <xf numFmtId="0" fontId="2" fillId="3" borderId="0" xfId="0" applyFont="1" applyFill="1"/>
    <xf numFmtId="0" fontId="2" fillId="4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4" xfId="0" applyFont="1" applyFill="1" applyBorder="1"/>
    <xf numFmtId="0" fontId="2" fillId="5" borderId="0" xfId="0" applyFont="1" applyFill="1" applyAlignment="1">
      <alignment horizontal="center"/>
    </xf>
    <xf numFmtId="0" fontId="3" fillId="0" borderId="4" xfId="0" applyFont="1" applyBorder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" fontId="3" fillId="4" borderId="5" xfId="0" applyNumberFormat="1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4" fontId="3" fillId="4" borderId="8" xfId="0" applyNumberFormat="1" applyFont="1" applyFill="1" applyBorder="1" applyAlignment="1">
      <alignment horizontal="center"/>
    </xf>
    <xf numFmtId="0" fontId="3" fillId="6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4"/>
  <sheetViews>
    <sheetView tabSelected="1" workbookViewId="0"/>
  </sheetViews>
  <sheetFormatPr defaultColWidth="12.5703125" defaultRowHeight="15.75" customHeight="1" x14ac:dyDescent="0.2"/>
  <cols>
    <col min="1" max="1" width="25.7109375" customWidth="1"/>
    <col min="2" max="2" width="12.42578125" customWidth="1"/>
    <col min="3" max="3" width="20.140625" customWidth="1"/>
    <col min="4" max="4" width="12.7109375" customWidth="1"/>
    <col min="5" max="5" width="16.85546875" customWidth="1"/>
    <col min="6" max="6" width="13.28515625" customWidth="1"/>
    <col min="7" max="7" width="11.7109375" customWidth="1"/>
  </cols>
  <sheetData>
    <row r="1" spans="1:7" ht="15.75" customHeight="1" x14ac:dyDescent="0.25">
      <c r="B1" s="24" t="s">
        <v>0</v>
      </c>
      <c r="C1" s="25"/>
      <c r="D1" s="25"/>
      <c r="E1" s="25"/>
      <c r="F1" s="1"/>
      <c r="G1" s="2"/>
    </row>
    <row r="2" spans="1:7" x14ac:dyDescent="0.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>
        <v>0.1</v>
      </c>
      <c r="G2" s="7" t="s">
        <v>6</v>
      </c>
    </row>
    <row r="3" spans="1:7" x14ac:dyDescent="0.2">
      <c r="A3" s="8"/>
      <c r="C3" s="2" t="s">
        <v>7</v>
      </c>
      <c r="E3" s="9" t="s">
        <v>8</v>
      </c>
      <c r="F3" s="2" t="s">
        <v>9</v>
      </c>
      <c r="G3" s="10" t="s">
        <v>10</v>
      </c>
    </row>
    <row r="4" spans="1:7" x14ac:dyDescent="0.2">
      <c r="A4" s="8"/>
      <c r="B4" s="11" t="s">
        <v>11</v>
      </c>
      <c r="C4" s="11" t="s">
        <v>11</v>
      </c>
      <c r="D4" s="11" t="s">
        <v>11</v>
      </c>
      <c r="E4" s="2" t="s">
        <v>10</v>
      </c>
      <c r="F4" s="12" t="s">
        <v>12</v>
      </c>
      <c r="G4" s="10" t="s">
        <v>13</v>
      </c>
    </row>
    <row r="5" spans="1:7" x14ac:dyDescent="0.2">
      <c r="A5" s="13"/>
      <c r="B5" s="14" t="s">
        <v>14</v>
      </c>
      <c r="C5" s="14" t="s">
        <v>14</v>
      </c>
      <c r="D5" s="14" t="s">
        <v>14</v>
      </c>
      <c r="E5" s="14" t="s">
        <v>14</v>
      </c>
      <c r="F5" s="14" t="s">
        <v>15</v>
      </c>
      <c r="G5" s="10" t="s">
        <v>16</v>
      </c>
    </row>
    <row r="6" spans="1:7" x14ac:dyDescent="0.2">
      <c r="A6" s="15" t="s">
        <v>17</v>
      </c>
      <c r="B6" s="16">
        <v>5.9</v>
      </c>
      <c r="C6" s="16">
        <v>5.15</v>
      </c>
      <c r="D6" s="16">
        <v>4.05</v>
      </c>
      <c r="E6" s="16">
        <f t="shared" ref="E6:E14" si="0">C6+D6</f>
        <v>9.1999999999999993</v>
      </c>
      <c r="F6" s="17">
        <f t="shared" ref="F6:F9" si="1">E6*0.1</f>
        <v>0.91999999999999993</v>
      </c>
      <c r="G6" s="18">
        <f t="shared" ref="G6:G15" si="2">(F6/B6)*100</f>
        <v>15.593220338983048</v>
      </c>
    </row>
    <row r="7" spans="1:7" x14ac:dyDescent="0.2">
      <c r="A7" s="15" t="s">
        <v>18</v>
      </c>
      <c r="B7" s="16">
        <v>415</v>
      </c>
      <c r="C7" s="16">
        <v>1020</v>
      </c>
      <c r="D7" s="16">
        <v>950</v>
      </c>
      <c r="E7" s="16">
        <f t="shared" si="0"/>
        <v>1970</v>
      </c>
      <c r="F7" s="17">
        <f t="shared" si="1"/>
        <v>197</v>
      </c>
      <c r="G7" s="18">
        <f t="shared" si="2"/>
        <v>47.46987951807229</v>
      </c>
    </row>
    <row r="8" spans="1:7" x14ac:dyDescent="0.2">
      <c r="A8" s="15" t="s">
        <v>19</v>
      </c>
      <c r="B8" s="16">
        <v>6900</v>
      </c>
      <c r="C8" s="16">
        <v>17900</v>
      </c>
      <c r="D8" s="16">
        <v>12500</v>
      </c>
      <c r="E8" s="16">
        <f t="shared" si="0"/>
        <v>30400</v>
      </c>
      <c r="F8" s="17">
        <f t="shared" si="1"/>
        <v>3040</v>
      </c>
      <c r="G8" s="18">
        <f t="shared" si="2"/>
        <v>44.05797101449275</v>
      </c>
    </row>
    <row r="9" spans="1:7" x14ac:dyDescent="0.2">
      <c r="A9" s="15" t="s">
        <v>20</v>
      </c>
      <c r="B9" s="16">
        <v>4270</v>
      </c>
      <c r="C9" s="16">
        <v>22400</v>
      </c>
      <c r="D9" s="16">
        <v>32900</v>
      </c>
      <c r="E9" s="16">
        <f t="shared" si="0"/>
        <v>55300</v>
      </c>
      <c r="F9" s="17">
        <f t="shared" si="1"/>
        <v>5530</v>
      </c>
      <c r="G9" s="18">
        <f t="shared" si="2"/>
        <v>129.50819672131149</v>
      </c>
    </row>
    <row r="10" spans="1:7" x14ac:dyDescent="0.2">
      <c r="A10" s="8" t="s">
        <v>21</v>
      </c>
      <c r="B10" s="16">
        <v>43.5</v>
      </c>
      <c r="C10" s="16">
        <v>73</v>
      </c>
      <c r="D10" s="16">
        <v>28</v>
      </c>
      <c r="E10" s="16">
        <f t="shared" si="0"/>
        <v>101</v>
      </c>
      <c r="F10" s="17">
        <v>10.1</v>
      </c>
      <c r="G10" s="18">
        <f t="shared" si="2"/>
        <v>23.2183908045977</v>
      </c>
    </row>
    <row r="11" spans="1:7" x14ac:dyDescent="0.2">
      <c r="A11" s="15" t="s">
        <v>22</v>
      </c>
      <c r="B11" s="16">
        <v>11634.4</v>
      </c>
      <c r="C11" s="16">
        <v>41398.15</v>
      </c>
      <c r="D11" s="16">
        <v>46382.05</v>
      </c>
      <c r="E11" s="16">
        <f t="shared" si="0"/>
        <v>87780.200000000012</v>
      </c>
      <c r="F11" s="17">
        <f>E11*0.1</f>
        <v>8778.0200000000023</v>
      </c>
      <c r="G11" s="18">
        <f t="shared" si="2"/>
        <v>75.448841366980702</v>
      </c>
    </row>
    <row r="12" spans="1:7" x14ac:dyDescent="0.2">
      <c r="A12" s="15" t="s">
        <v>23</v>
      </c>
      <c r="B12" s="16">
        <v>105</v>
      </c>
      <c r="C12" s="16">
        <v>422</v>
      </c>
      <c r="D12" s="16">
        <v>170</v>
      </c>
      <c r="E12" s="16">
        <f t="shared" si="0"/>
        <v>592</v>
      </c>
      <c r="F12" s="17">
        <v>59.2</v>
      </c>
      <c r="G12" s="18">
        <f t="shared" si="2"/>
        <v>56.380952380952387</v>
      </c>
    </row>
    <row r="13" spans="1:7" x14ac:dyDescent="0.2">
      <c r="A13" s="15" t="s">
        <v>24</v>
      </c>
      <c r="B13" s="16">
        <v>1050</v>
      </c>
      <c r="C13" s="16">
        <v>2900</v>
      </c>
      <c r="D13" s="16">
        <v>2500</v>
      </c>
      <c r="E13" s="16">
        <f t="shared" si="0"/>
        <v>5400</v>
      </c>
      <c r="F13" s="17">
        <v>540</v>
      </c>
      <c r="G13" s="18">
        <f t="shared" si="2"/>
        <v>51.428571428571423</v>
      </c>
    </row>
    <row r="14" spans="1:7" x14ac:dyDescent="0.2">
      <c r="A14" s="15" t="s">
        <v>25</v>
      </c>
      <c r="B14" s="16">
        <v>205</v>
      </c>
      <c r="C14" s="16">
        <v>905</v>
      </c>
      <c r="D14" s="16">
        <v>604</v>
      </c>
      <c r="E14" s="16">
        <f t="shared" si="0"/>
        <v>1509</v>
      </c>
      <c r="F14" s="17">
        <v>150.9</v>
      </c>
      <c r="G14" s="18">
        <f t="shared" si="2"/>
        <v>73.609756097560975</v>
      </c>
    </row>
    <row r="15" spans="1:7" x14ac:dyDescent="0.2">
      <c r="A15" s="19" t="s">
        <v>26</v>
      </c>
      <c r="B15" s="20">
        <f t="shared" ref="B15:F15" si="3">SUM(B6:B14)</f>
        <v>24628.799999999999</v>
      </c>
      <c r="C15" s="20">
        <f t="shared" si="3"/>
        <v>87023.3</v>
      </c>
      <c r="D15" s="20">
        <f t="shared" si="3"/>
        <v>96038.1</v>
      </c>
      <c r="E15" s="20">
        <f t="shared" si="3"/>
        <v>183061.40000000002</v>
      </c>
      <c r="F15" s="20">
        <f t="shared" si="3"/>
        <v>18306.140000000003</v>
      </c>
      <c r="G15" s="21">
        <f t="shared" si="2"/>
        <v>74.328184889235388</v>
      </c>
    </row>
    <row r="16" spans="1:7" x14ac:dyDescent="0.2">
      <c r="A16" s="22" t="s">
        <v>27</v>
      </c>
    </row>
    <row r="17" spans="1:4" x14ac:dyDescent="0.2">
      <c r="A17" s="23" t="s">
        <v>28</v>
      </c>
    </row>
    <row r="18" spans="1:4" x14ac:dyDescent="0.2">
      <c r="A18" s="23" t="s">
        <v>29</v>
      </c>
    </row>
    <row r="19" spans="1:4" ht="12.75" x14ac:dyDescent="0.2">
      <c r="A19" s="23" t="s">
        <v>30</v>
      </c>
      <c r="D19" s="23" t="s">
        <v>31</v>
      </c>
    </row>
    <row r="20" spans="1:4" ht="12.75" x14ac:dyDescent="0.2">
      <c r="A20" s="23" t="s">
        <v>32</v>
      </c>
    </row>
    <row r="21" spans="1:4" ht="12.75" x14ac:dyDescent="0.2">
      <c r="A21" s="23" t="s">
        <v>33</v>
      </c>
    </row>
    <row r="22" spans="1:4" ht="12.75" x14ac:dyDescent="0.2">
      <c r="A22" s="23" t="s">
        <v>34</v>
      </c>
    </row>
    <row r="23" spans="1:4" ht="12.75" x14ac:dyDescent="0.2">
      <c r="A23" s="23" t="s">
        <v>35</v>
      </c>
    </row>
    <row r="24" spans="1:4" ht="12.75" x14ac:dyDescent="0.2">
      <c r="A24" s="23" t="s">
        <v>36</v>
      </c>
    </row>
  </sheetData>
  <mergeCells count="1">
    <mergeCell ref="B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Бюджеты, вклады, кредиты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Улан</cp:lastModifiedBy>
  <dcterms:modified xsi:type="dcterms:W3CDTF">2026-04-12T05:15:52Z</dcterms:modified>
</cp:coreProperties>
</file>